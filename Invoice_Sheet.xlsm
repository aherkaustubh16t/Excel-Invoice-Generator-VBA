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er\Documents\Projects\Excel_Invoice_VBA\"/>
    </mc:Choice>
  </mc:AlternateContent>
  <xr:revisionPtr revIDLastSave="0" documentId="13_ncr:1_{74DB8EB2-890B-4062-B69B-CE892A7BFCD6}" xr6:coauthVersionLast="47" xr6:coauthVersionMax="47" xr10:uidLastSave="{00000000-0000-0000-0000-000000000000}"/>
  <bookViews>
    <workbookView xWindow="-108" yWindow="-108" windowWidth="23256" windowHeight="12456" xr2:uid="{D010E3CD-467A-4293-B387-56194A5DB82C}"/>
  </bookViews>
  <sheets>
    <sheet name="Invoice" sheetId="1" r:id="rId1"/>
    <sheet name="Customer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" l="1"/>
  <c r="B6" i="1"/>
  <c r="B5" i="1"/>
  <c r="B4" i="1"/>
  <c r="E10" i="1"/>
  <c r="E11" i="1"/>
  <c r="E12" i="1"/>
  <c r="E13" i="1"/>
  <c r="E14" i="1"/>
  <c r="E15" i="1"/>
  <c r="E16" i="1"/>
  <c r="E17" i="1"/>
  <c r="E18" i="1"/>
  <c r="E20" i="1"/>
  <c r="E21" i="1"/>
  <c r="E22" i="1"/>
  <c r="E23" i="1"/>
  <c r="E24" i="1"/>
  <c r="E25" i="1"/>
  <c r="E26" i="1"/>
  <c r="E27" i="1"/>
  <c r="E9" i="1"/>
  <c r="E4" i="1"/>
  <c r="D33" i="2"/>
  <c r="D32" i="2"/>
  <c r="D31" i="2"/>
  <c r="D30" i="2"/>
  <c r="D29" i="2"/>
  <c r="D28" i="2"/>
  <c r="D27" i="2"/>
  <c r="D26" i="2"/>
  <c r="D25" i="2"/>
  <c r="D24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23" i="2"/>
  <c r="D22" i="2"/>
  <c r="E29" i="1" l="1"/>
  <c r="E6" i="1"/>
</calcChain>
</file>

<file path=xl/sharedStrings.xml><?xml version="1.0" encoding="utf-8"?>
<sst xmlns="http://schemas.openxmlformats.org/spreadsheetml/2006/main" count="132" uniqueCount="129">
  <si>
    <t>Name</t>
  </si>
  <si>
    <t>Address</t>
  </si>
  <si>
    <t>Phone</t>
  </si>
  <si>
    <t>Email</t>
  </si>
  <si>
    <t>Aarav Mehta</t>
  </si>
  <si>
    <t>12 MG Road, Pune, MH</t>
  </si>
  <si>
    <t>aarav.mehta@example.com</t>
  </si>
  <si>
    <t>Riya Sharma</t>
  </si>
  <si>
    <t>7 Park Street, Kolkata, WB</t>
  </si>
  <si>
    <t>riya.sharma@example.com</t>
  </si>
  <si>
    <t>Karan Verma</t>
  </si>
  <si>
    <t>45 Sector 62, Noida, UP</t>
  </si>
  <si>
    <t>karan.verma@example.com</t>
  </si>
  <si>
    <t>Priya Kapoor</t>
  </si>
  <si>
    <t>18 Baner Road, Pune, MH</t>
  </si>
  <si>
    <t>priya.kapoor@example.com</t>
  </si>
  <si>
    <t>Rohit Joshi</t>
  </si>
  <si>
    <t>21 Civil Lines, Jaipur, RJ</t>
  </si>
  <si>
    <t>rohit.joshi@example.com</t>
  </si>
  <si>
    <t>Ananya Gupta</t>
  </si>
  <si>
    <t>33 Jubilee Hills, Hyderabad, TS</t>
  </si>
  <si>
    <t>ananya.gupta@example.com</t>
  </si>
  <si>
    <t>Sameer Khan</t>
  </si>
  <si>
    <t>19 BTM Layout, Bengaluru, KA</t>
  </si>
  <si>
    <t>sameer.khan@example.com</t>
  </si>
  <si>
    <t>Tanya Deshmukh</t>
  </si>
  <si>
    <t>56 Shaniwar Peth, Pune, MH</t>
  </si>
  <si>
    <t>tanya.deshmukh@example.com</t>
  </si>
  <si>
    <t>Nikhil Raj</t>
  </si>
  <si>
    <t>24 Ashok Nagar, Chennai, TN</t>
  </si>
  <si>
    <t>nikhil.raj@example.com</t>
  </si>
  <si>
    <t>Sneha Reddy</t>
  </si>
  <si>
    <t>78 KPHB Colony, Hyderabad, TS</t>
  </si>
  <si>
    <t>sneha.reddy@example.com</t>
  </si>
  <si>
    <t>Deepak Singh</t>
  </si>
  <si>
    <t>90 Indira Nagar, Lucknow, UP</t>
  </si>
  <si>
    <t>deepak.singh@example.com</t>
  </si>
  <si>
    <t>Isha Thakur</t>
  </si>
  <si>
    <t>11 Sector 15, Chandigarh</t>
  </si>
  <si>
    <t>isha.thakur@example.com</t>
  </si>
  <si>
    <t>Arjun Desai</t>
  </si>
  <si>
    <t>2 Ellis Bridge, Ahmedabad, GJ</t>
  </si>
  <si>
    <t>arjun.desai@example.com</t>
  </si>
  <si>
    <t>Meera Nair</t>
  </si>
  <si>
    <t>14 Vyttila, Kochi, KL</t>
  </si>
  <si>
    <t>meera.nair@example.com</t>
  </si>
  <si>
    <t>Aman Bhatia</t>
  </si>
  <si>
    <t>85 Janakpuri, Delhi</t>
  </si>
  <si>
    <t>aman.bhatia@example.com</t>
  </si>
  <si>
    <t>Kavya Iyer</t>
  </si>
  <si>
    <t>36 T Nagar, Chennai, TN</t>
  </si>
  <si>
    <t>kavya.iyer@example.com</t>
  </si>
  <si>
    <t>Raghav Tiwari</t>
  </si>
  <si>
    <t>48 JLN Marg, Jaipur, RJ</t>
  </si>
  <si>
    <t>raghav.tiwari@example.com</t>
  </si>
  <si>
    <t>Pooja Chauhan</t>
  </si>
  <si>
    <t>67 New Colony, Faridabad, HR</t>
  </si>
  <si>
    <t>pooja.chauhan@example.com</t>
  </si>
  <si>
    <t>Harsh Patil</t>
  </si>
  <si>
    <t>10 Shivaji Nagar, Nagpur, MH</t>
  </si>
  <si>
    <t>harsh.patil@example.com</t>
  </si>
  <si>
    <t>Neha Dubey</t>
  </si>
  <si>
    <t>77 Gomti Nagar, Lucknow, UP</t>
  </si>
  <si>
    <t>neha.dubey@example.com</t>
  </si>
  <si>
    <t>Sagar Saxena</t>
  </si>
  <si>
    <t>4 Gariahat Road, Kolkata, WB</t>
  </si>
  <si>
    <t>sagar.saxena@example.com</t>
  </si>
  <si>
    <t>Diya Fernandes</t>
  </si>
  <si>
    <t>51 Colaba Causeway, Mumbai, MH</t>
  </si>
  <si>
    <t>diya.fernandes@example.com</t>
  </si>
  <si>
    <t>Yash Malhotra</t>
  </si>
  <si>
    <t>19 Model Town, Ludhiana, PB</t>
  </si>
  <si>
    <t>yash.malhotra@example.com</t>
  </si>
  <si>
    <t>Aisha Sheikh</t>
  </si>
  <si>
    <t>72 Lalbagh, Mangalore, KA</t>
  </si>
  <si>
    <t>aisha.sheikh@example.com</t>
  </si>
  <si>
    <t>Rajan Kumar</t>
  </si>
  <si>
    <t>23 Rajendra Nagar, Patna, BR</t>
  </si>
  <si>
    <t>rajan.kumar@example.com</t>
  </si>
  <si>
    <t>Naina Arora</t>
  </si>
  <si>
    <t>9 Sector 22, Chandigarh</t>
  </si>
  <si>
    <t>naina.arora@example.com</t>
  </si>
  <si>
    <t>Aditya Jain</t>
  </si>
  <si>
    <t>13 Tilak Road, Indore, MP</t>
  </si>
  <si>
    <t>aditya.jain@example.com</t>
  </si>
  <si>
    <t>Shruti Mehta</t>
  </si>
  <si>
    <t>25 Alkapuri, Vadodara, GJ</t>
  </si>
  <si>
    <t>shruti.mehta@example.com</t>
  </si>
  <si>
    <t>Varun Agarwal</t>
  </si>
  <si>
    <t>66 Ameerpet, Hyderabad, TS</t>
  </si>
  <si>
    <t>varun.agarwal@example.com</t>
  </si>
  <si>
    <t>Simran Kaur</t>
  </si>
  <si>
    <t>29 Sector 17, Chandigarh</t>
  </si>
  <si>
    <t>simran.kaur@example.com</t>
  </si>
  <si>
    <t>Customer Details</t>
  </si>
  <si>
    <t>ID</t>
  </si>
  <si>
    <t>Invoice No</t>
  </si>
  <si>
    <t>Date</t>
  </si>
  <si>
    <t>Terms</t>
  </si>
  <si>
    <t>Due Date</t>
  </si>
  <si>
    <t>Invoice</t>
  </si>
  <si>
    <t>Code</t>
  </si>
  <si>
    <t>Item Name</t>
  </si>
  <si>
    <t>Quantity</t>
  </si>
  <si>
    <t>Total (Rs.)</t>
  </si>
  <si>
    <t>Unit Price (Rs.)</t>
  </si>
  <si>
    <t>Bill To</t>
  </si>
  <si>
    <t>Price (Rs.)</t>
  </si>
  <si>
    <t>K20259</t>
  </si>
  <si>
    <t>ITM001</t>
  </si>
  <si>
    <t>Ball Pen</t>
  </si>
  <si>
    <t>ITM002</t>
  </si>
  <si>
    <t>A4 Paper (Ream)</t>
  </si>
  <si>
    <t>ITM003</t>
  </si>
  <si>
    <t>Notebook (200 pages)</t>
  </si>
  <si>
    <t>ITM004</t>
  </si>
  <si>
    <t>Stapler</t>
  </si>
  <si>
    <t>ITM005</t>
  </si>
  <si>
    <t>Desk Calendar</t>
  </si>
  <si>
    <t>ITM006</t>
  </si>
  <si>
    <t>File Folder</t>
  </si>
  <si>
    <t>ITM007</t>
  </si>
  <si>
    <t>USB Flash Drive 32GB</t>
  </si>
  <si>
    <t>ITM008</t>
  </si>
  <si>
    <t>Whiteboard Marker</t>
  </si>
  <si>
    <t>ITM009</t>
  </si>
  <si>
    <t>Sticky Notes (Pack)</t>
  </si>
  <si>
    <t>ITM010</t>
  </si>
  <si>
    <t>Scissors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</si>
</sst>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&quot;days&quot;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0" tint="-4.9989318521683403E-2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b/>
      <sz val="24"/>
      <color rgb="FF000080"/>
      <name val="Calibri"/>
      <family val="2"/>
    </font>
    <font>
      <b/>
      <sz val="22"/>
      <color rgb="FF00008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5" fillId="5" borderId="11" xfId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5" fillId="5" borderId="4" xfId="1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 wrapText="1"/>
    </xf>
    <xf numFmtId="14" fontId="7" fillId="2" borderId="13" xfId="0" applyNumberFormat="1" applyFont="1" applyFill="1" applyBorder="1" applyAlignment="1">
      <alignment horizontal="center" vertical="center"/>
    </xf>
    <xf numFmtId="14" fontId="7" fillId="2" borderId="12" xfId="0" applyNumberFormat="1" applyFont="1" applyFill="1" applyBorder="1" applyAlignment="1">
      <alignment horizontal="center" vertical="center"/>
    </xf>
    <xf numFmtId="164" fontId="7" fillId="2" borderId="13" xfId="0" applyNumberFormat="1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10</xdr:col>
          <xdr:colOff>7620</xdr:colOff>
          <xdr:row>4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Save Invoice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</xdr:row>
          <xdr:rowOff>7620</xdr:rowOff>
        </xdr:from>
        <xdr:to>
          <xdr:col>10</xdr:col>
          <xdr:colOff>30480</xdr:colOff>
          <xdr:row>7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Create New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nya.deshmukh@example.com" TargetMode="External"/><Relationship Id="rId13" Type="http://schemas.openxmlformats.org/officeDocument/2006/relationships/hyperlink" Target="mailto:arjun.desai@example.com" TargetMode="External"/><Relationship Id="rId18" Type="http://schemas.openxmlformats.org/officeDocument/2006/relationships/hyperlink" Target="mailto:pooja.chauhan@example.com" TargetMode="External"/><Relationship Id="rId26" Type="http://schemas.openxmlformats.org/officeDocument/2006/relationships/hyperlink" Target="mailto:naina.arora@example.com" TargetMode="External"/><Relationship Id="rId3" Type="http://schemas.openxmlformats.org/officeDocument/2006/relationships/hyperlink" Target="mailto:karan.verma@example.com" TargetMode="External"/><Relationship Id="rId21" Type="http://schemas.openxmlformats.org/officeDocument/2006/relationships/hyperlink" Target="mailto:sagar.saxena@example.com" TargetMode="External"/><Relationship Id="rId7" Type="http://schemas.openxmlformats.org/officeDocument/2006/relationships/hyperlink" Target="mailto:sameer.khan@example.com" TargetMode="External"/><Relationship Id="rId12" Type="http://schemas.openxmlformats.org/officeDocument/2006/relationships/hyperlink" Target="mailto:isha.thakur@example.com" TargetMode="External"/><Relationship Id="rId17" Type="http://schemas.openxmlformats.org/officeDocument/2006/relationships/hyperlink" Target="mailto:raghav.tiwari@example.com" TargetMode="External"/><Relationship Id="rId25" Type="http://schemas.openxmlformats.org/officeDocument/2006/relationships/hyperlink" Target="mailto:rajan.kumar@example.com" TargetMode="External"/><Relationship Id="rId2" Type="http://schemas.openxmlformats.org/officeDocument/2006/relationships/hyperlink" Target="mailto:riya.sharma@example.com" TargetMode="External"/><Relationship Id="rId16" Type="http://schemas.openxmlformats.org/officeDocument/2006/relationships/hyperlink" Target="mailto:kavya.iyer@example.com" TargetMode="External"/><Relationship Id="rId20" Type="http://schemas.openxmlformats.org/officeDocument/2006/relationships/hyperlink" Target="mailto:neha.dubey@example.com" TargetMode="External"/><Relationship Id="rId29" Type="http://schemas.openxmlformats.org/officeDocument/2006/relationships/hyperlink" Target="mailto:varun.agarwal@example.com" TargetMode="External"/><Relationship Id="rId1" Type="http://schemas.openxmlformats.org/officeDocument/2006/relationships/hyperlink" Target="mailto:aarav.mehta@example.com" TargetMode="External"/><Relationship Id="rId6" Type="http://schemas.openxmlformats.org/officeDocument/2006/relationships/hyperlink" Target="mailto:ananya.gupta@example.com" TargetMode="External"/><Relationship Id="rId11" Type="http://schemas.openxmlformats.org/officeDocument/2006/relationships/hyperlink" Target="mailto:deepak.singh@example.com" TargetMode="External"/><Relationship Id="rId24" Type="http://schemas.openxmlformats.org/officeDocument/2006/relationships/hyperlink" Target="mailto:aisha.sheikh@example.com" TargetMode="External"/><Relationship Id="rId5" Type="http://schemas.openxmlformats.org/officeDocument/2006/relationships/hyperlink" Target="mailto:rohit.joshi@example.com" TargetMode="External"/><Relationship Id="rId15" Type="http://schemas.openxmlformats.org/officeDocument/2006/relationships/hyperlink" Target="mailto:aman.bhatia@example.com" TargetMode="External"/><Relationship Id="rId23" Type="http://schemas.openxmlformats.org/officeDocument/2006/relationships/hyperlink" Target="mailto:yash.malhotra@example.com" TargetMode="External"/><Relationship Id="rId28" Type="http://schemas.openxmlformats.org/officeDocument/2006/relationships/hyperlink" Target="mailto:shruti.mehta@example.com" TargetMode="External"/><Relationship Id="rId10" Type="http://schemas.openxmlformats.org/officeDocument/2006/relationships/hyperlink" Target="mailto:sneha.reddy@example.com" TargetMode="External"/><Relationship Id="rId19" Type="http://schemas.openxmlformats.org/officeDocument/2006/relationships/hyperlink" Target="mailto:harsh.patil@example.com" TargetMode="External"/><Relationship Id="rId4" Type="http://schemas.openxmlformats.org/officeDocument/2006/relationships/hyperlink" Target="mailto:priya.kapoor@example.com" TargetMode="External"/><Relationship Id="rId9" Type="http://schemas.openxmlformats.org/officeDocument/2006/relationships/hyperlink" Target="mailto:nikhil.raj@example.com" TargetMode="External"/><Relationship Id="rId14" Type="http://schemas.openxmlformats.org/officeDocument/2006/relationships/hyperlink" Target="mailto:meera.nair@example.com" TargetMode="External"/><Relationship Id="rId22" Type="http://schemas.openxmlformats.org/officeDocument/2006/relationships/hyperlink" Target="mailto:diya.fernandes@example.com" TargetMode="External"/><Relationship Id="rId27" Type="http://schemas.openxmlformats.org/officeDocument/2006/relationships/hyperlink" Target="mailto:aditya.jain@example.com" TargetMode="External"/><Relationship Id="rId30" Type="http://schemas.openxmlformats.org/officeDocument/2006/relationships/hyperlink" Target="mailto:simran.kaur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68AB-FCE5-4C27-911F-927A8BA70BAD}">
  <sheetPr codeName="Sheet1"/>
  <dimension ref="A1:Z30"/>
  <sheetViews>
    <sheetView tabSelected="1" topLeftCell="A4" zoomScale="99" workbookViewId="0">
      <selection activeCell="A9" sqref="A9:D18"/>
    </sheetView>
  </sheetViews>
  <sheetFormatPr defaultRowHeight="21" x14ac:dyDescent="0.3"/>
  <cols>
    <col min="1" max="1" width="13.6640625" style="2" customWidth="1"/>
    <col min="2" max="2" width="56.5546875" style="2" customWidth="1"/>
    <col min="3" max="3" width="14.33203125" style="2" customWidth="1"/>
    <col min="4" max="4" width="21.21875" style="2" customWidth="1"/>
    <col min="5" max="5" width="22.109375" style="2" customWidth="1"/>
    <col min="6" max="6" width="5.5546875" style="2" customWidth="1"/>
    <col min="7" max="16384" width="8.88671875" style="2"/>
  </cols>
  <sheetData>
    <row r="1" spans="1:26" ht="47.4" customHeight="1" x14ac:dyDescent="0.3">
      <c r="A1" s="30" t="s">
        <v>100</v>
      </c>
      <c r="B1" s="31"/>
      <c r="C1" s="31"/>
      <c r="D1" s="31"/>
      <c r="E1" s="31"/>
      <c r="T1" s="2">
        <v>9</v>
      </c>
      <c r="Z1" s="2">
        <v>2</v>
      </c>
    </row>
    <row r="2" spans="1:26" ht="7.2" customHeight="1" thickBot="1" x14ac:dyDescent="0.35"/>
    <row r="3" spans="1:26" ht="32.4" customHeight="1" thickBot="1" x14ac:dyDescent="0.35">
      <c r="A3" s="11" t="s">
        <v>106</v>
      </c>
      <c r="B3" s="12"/>
      <c r="D3" s="11" t="s">
        <v>96</v>
      </c>
      <c r="E3" s="12" t="s">
        <v>108</v>
      </c>
    </row>
    <row r="4" spans="1:26" ht="32.4" customHeight="1" thickBot="1" x14ac:dyDescent="0.35">
      <c r="A4" s="11" t="s">
        <v>1</v>
      </c>
      <c r="B4" s="13" t="str">
        <f>IF(B3&lt;&gt;"",VLOOKUP(B3,Customers!B4:E33,2,FALSE),"Enter Name")</f>
        <v>Enter Name</v>
      </c>
      <c r="D4" s="11" t="s">
        <v>97</v>
      </c>
      <c r="E4" s="25">
        <f ca="1">TODAY()</f>
        <v>45864</v>
      </c>
    </row>
    <row r="5" spans="1:26" ht="32.4" customHeight="1" thickBot="1" x14ac:dyDescent="0.35">
      <c r="A5" s="11" t="s">
        <v>2</v>
      </c>
      <c r="B5" s="13" t="str">
        <f>IF(B3&lt;&gt;"",VLOOKUP(B3,Customers!B4:E33,3,FALSE),"Enter Name")</f>
        <v>Enter Name</v>
      </c>
      <c r="D5" s="11" t="s">
        <v>98</v>
      </c>
      <c r="E5" s="27"/>
    </row>
    <row r="6" spans="1:26" ht="32.4" customHeight="1" thickBot="1" x14ac:dyDescent="0.35">
      <c r="A6" s="11" t="s">
        <v>3</v>
      </c>
      <c r="B6" s="14" t="str">
        <f>IF(B3&lt;&gt;"",VLOOKUP(B3,Customers!B4:E33,4,FALSE),"Enter Name")</f>
        <v>Enter Name</v>
      </c>
      <c r="D6" s="11" t="s">
        <v>99</v>
      </c>
      <c r="E6" s="26" t="str">
        <f>IF(E5&lt;&gt;"", E4+E5, "Enter Term")</f>
        <v>Enter Term</v>
      </c>
    </row>
    <row r="7" spans="1:26" ht="21.6" thickBot="1" x14ac:dyDescent="0.35"/>
    <row r="8" spans="1:26" ht="29.4" customHeight="1" thickBot="1" x14ac:dyDescent="0.35">
      <c r="A8" s="8" t="s">
        <v>101</v>
      </c>
      <c r="B8" s="8" t="s">
        <v>102</v>
      </c>
      <c r="C8" s="8" t="s">
        <v>103</v>
      </c>
      <c r="D8" s="8" t="s">
        <v>105</v>
      </c>
      <c r="E8" s="8" t="s">
        <v>107</v>
      </c>
      <c r="F8" s="29"/>
    </row>
    <row r="9" spans="1:26" ht="24" customHeight="1" x14ac:dyDescent="0.3">
      <c r="A9" s="7" t="s">
        <v>109</v>
      </c>
      <c r="B9" s="9" t="s">
        <v>110</v>
      </c>
      <c r="C9" s="9">
        <v>10</v>
      </c>
      <c r="D9" s="9">
        <v>5</v>
      </c>
      <c r="E9" s="10">
        <f>IF(C9&gt;0,C9*D9,"")</f>
        <v>50</v>
      </c>
      <c r="F9" s="32"/>
    </row>
    <row r="10" spans="1:26" ht="24" customHeight="1" x14ac:dyDescent="0.3">
      <c r="A10" s="4" t="s">
        <v>111</v>
      </c>
      <c r="B10" s="3" t="s">
        <v>112</v>
      </c>
      <c r="C10" s="3">
        <v>2</v>
      </c>
      <c r="D10" s="3">
        <v>150</v>
      </c>
      <c r="E10" s="10">
        <f t="shared" ref="E10:E27" si="0">IF(C10&gt;0,C10*D10,"")</f>
        <v>300</v>
      </c>
      <c r="F10" s="32"/>
    </row>
    <row r="11" spans="1:26" ht="24" customHeight="1" x14ac:dyDescent="0.3">
      <c r="A11" s="4" t="s">
        <v>113</v>
      </c>
      <c r="B11" s="3" t="s">
        <v>114</v>
      </c>
      <c r="C11" s="3">
        <v>5</v>
      </c>
      <c r="D11" s="3">
        <v>45</v>
      </c>
      <c r="E11" s="10">
        <f t="shared" si="0"/>
        <v>225</v>
      </c>
    </row>
    <row r="12" spans="1:26" ht="24" customHeight="1" x14ac:dyDescent="0.3">
      <c r="A12" s="4" t="s">
        <v>115</v>
      </c>
      <c r="B12" s="3" t="s">
        <v>116</v>
      </c>
      <c r="C12" s="3">
        <v>3</v>
      </c>
      <c r="D12" s="3">
        <v>80</v>
      </c>
      <c r="E12" s="10">
        <f t="shared" si="0"/>
        <v>240</v>
      </c>
    </row>
    <row r="13" spans="1:26" ht="24" customHeight="1" x14ac:dyDescent="0.3">
      <c r="A13" s="4" t="s">
        <v>117</v>
      </c>
      <c r="B13" s="3" t="s">
        <v>118</v>
      </c>
      <c r="C13" s="3">
        <v>1</v>
      </c>
      <c r="D13" s="3">
        <v>120</v>
      </c>
      <c r="E13" s="10">
        <f t="shared" si="0"/>
        <v>120</v>
      </c>
    </row>
    <row r="14" spans="1:26" ht="24" customHeight="1" x14ac:dyDescent="0.3">
      <c r="A14" s="4" t="s">
        <v>119</v>
      </c>
      <c r="B14" s="3" t="s">
        <v>120</v>
      </c>
      <c r="C14" s="3">
        <v>12</v>
      </c>
      <c r="D14" s="3">
        <v>15</v>
      </c>
      <c r="E14" s="10">
        <f t="shared" si="0"/>
        <v>180</v>
      </c>
    </row>
    <row r="15" spans="1:26" ht="24" customHeight="1" x14ac:dyDescent="0.3">
      <c r="A15" s="4" t="s">
        <v>121</v>
      </c>
      <c r="B15" s="3" t="s">
        <v>122</v>
      </c>
      <c r="C15" s="3">
        <v>2</v>
      </c>
      <c r="D15" s="3">
        <v>450</v>
      </c>
      <c r="E15" s="10">
        <f t="shared" si="0"/>
        <v>900</v>
      </c>
    </row>
    <row r="16" spans="1:26" ht="24" customHeight="1" x14ac:dyDescent="0.3">
      <c r="A16" s="4" t="s">
        <v>123</v>
      </c>
      <c r="B16" s="3" t="s">
        <v>124</v>
      </c>
      <c r="C16" s="3">
        <v>6</v>
      </c>
      <c r="D16" s="3">
        <v>20</v>
      </c>
      <c r="E16" s="10">
        <f t="shared" si="0"/>
        <v>120</v>
      </c>
    </row>
    <row r="17" spans="1:5" ht="24" customHeight="1" x14ac:dyDescent="0.3">
      <c r="A17" s="4" t="s">
        <v>125</v>
      </c>
      <c r="B17" s="3" t="s">
        <v>126</v>
      </c>
      <c r="C17" s="3">
        <v>4</v>
      </c>
      <c r="D17" s="3">
        <v>30</v>
      </c>
      <c r="E17" s="10">
        <f t="shared" si="0"/>
        <v>120</v>
      </c>
    </row>
    <row r="18" spans="1:5" ht="24" customHeight="1" x14ac:dyDescent="0.3">
      <c r="A18" s="4" t="s">
        <v>127</v>
      </c>
      <c r="B18" s="3" t="s">
        <v>128</v>
      </c>
      <c r="C18" s="3">
        <v>2</v>
      </c>
      <c r="D18" s="3">
        <v>60</v>
      </c>
      <c r="E18" s="10">
        <f t="shared" si="0"/>
        <v>120</v>
      </c>
    </row>
    <row r="19" spans="1:5" ht="24" customHeight="1" x14ac:dyDescent="0.3">
      <c r="A19" s="4"/>
      <c r="B19" s="3"/>
      <c r="C19" s="3"/>
      <c r="D19" s="3"/>
      <c r="E19" s="10" t="str">
        <f t="shared" si="0"/>
        <v/>
      </c>
    </row>
    <row r="20" spans="1:5" ht="24" customHeight="1" x14ac:dyDescent="0.3">
      <c r="A20" s="4"/>
      <c r="B20" s="3"/>
      <c r="C20" s="3"/>
      <c r="D20" s="3"/>
      <c r="E20" s="10" t="str">
        <f t="shared" si="0"/>
        <v/>
      </c>
    </row>
    <row r="21" spans="1:5" ht="24" customHeight="1" x14ac:dyDescent="0.3">
      <c r="A21" s="4"/>
      <c r="B21" s="3"/>
      <c r="C21" s="3"/>
      <c r="D21" s="3"/>
      <c r="E21" s="10" t="str">
        <f t="shared" si="0"/>
        <v/>
      </c>
    </row>
    <row r="22" spans="1:5" ht="24" customHeight="1" x14ac:dyDescent="0.3">
      <c r="A22" s="4"/>
      <c r="B22" s="3"/>
      <c r="C22" s="3"/>
      <c r="D22" s="3"/>
      <c r="E22" s="10" t="str">
        <f t="shared" si="0"/>
        <v/>
      </c>
    </row>
    <row r="23" spans="1:5" ht="24" customHeight="1" x14ac:dyDescent="0.3">
      <c r="A23" s="4"/>
      <c r="B23" s="3"/>
      <c r="C23" s="3"/>
      <c r="D23" s="3"/>
      <c r="E23" s="10" t="str">
        <f t="shared" si="0"/>
        <v/>
      </c>
    </row>
    <row r="24" spans="1:5" ht="24" customHeight="1" x14ac:dyDescent="0.3">
      <c r="A24" s="4"/>
      <c r="B24" s="3"/>
      <c r="C24" s="3"/>
      <c r="D24" s="3"/>
      <c r="E24" s="10" t="str">
        <f t="shared" si="0"/>
        <v/>
      </c>
    </row>
    <row r="25" spans="1:5" ht="24" customHeight="1" x14ac:dyDescent="0.3">
      <c r="A25" s="4"/>
      <c r="B25" s="3"/>
      <c r="C25" s="3"/>
      <c r="D25" s="3"/>
      <c r="E25" s="10" t="str">
        <f t="shared" si="0"/>
        <v/>
      </c>
    </row>
    <row r="26" spans="1:5" ht="24" customHeight="1" x14ac:dyDescent="0.3">
      <c r="A26" s="4"/>
      <c r="B26" s="3"/>
      <c r="C26" s="3"/>
      <c r="D26" s="3"/>
      <c r="E26" s="10" t="str">
        <f t="shared" si="0"/>
        <v/>
      </c>
    </row>
    <row r="27" spans="1:5" ht="24" customHeight="1" thickBot="1" x14ac:dyDescent="0.35">
      <c r="A27" s="5"/>
      <c r="B27" s="6"/>
      <c r="C27" s="6"/>
      <c r="D27" s="6"/>
      <c r="E27" s="28" t="str">
        <f t="shared" si="0"/>
        <v/>
      </c>
    </row>
    <row r="28" spans="1:5" ht="21.6" thickBot="1" x14ac:dyDescent="0.35"/>
    <row r="29" spans="1:5" x14ac:dyDescent="0.3">
      <c r="D29" s="33" t="s">
        <v>104</v>
      </c>
      <c r="E29" s="35">
        <f>SUM(E9:E27)</f>
        <v>2375</v>
      </c>
    </row>
    <row r="30" spans="1:5" ht="21.6" thickBot="1" x14ac:dyDescent="0.35">
      <c r="D30" s="34"/>
      <c r="E30" s="36"/>
    </row>
  </sheetData>
  <mergeCells count="4">
    <mergeCell ref="A1:E1"/>
    <mergeCell ref="F9:F10"/>
    <mergeCell ref="D29:D30"/>
    <mergeCell ref="E29:E30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aveAsPDF">
                <anchor moveWithCells="1" sizeWithCells="1">
                  <from>
                    <xdr:col>6</xdr:col>
                    <xdr:colOff>7620</xdr:colOff>
                    <xdr:row>2</xdr:row>
                    <xdr:rowOff>7620</xdr:rowOff>
                  </from>
                  <to>
                    <xdr:col>10</xdr:col>
                    <xdr:colOff>7620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reateNewInvoice">
                <anchor moveWithCells="1" sizeWithCells="1">
                  <from>
                    <xdr:col>6</xdr:col>
                    <xdr:colOff>15240</xdr:colOff>
                    <xdr:row>5</xdr:row>
                    <xdr:rowOff>7620</xdr:rowOff>
                  </from>
                  <to>
                    <xdr:col>10</xdr:col>
                    <xdr:colOff>30480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819AE3-30C0-4AFC-980F-3C32E66EB053}">
          <x14:formula1>
            <xm:f>Customers!$B$4:$B$33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AD2D5-C20A-4AE8-95F0-C08301887C12}">
  <sheetPr codeName="Sheet2"/>
  <dimension ref="A1:E33"/>
  <sheetViews>
    <sheetView zoomScale="106" workbookViewId="0">
      <selection activeCell="B26" sqref="B26"/>
    </sheetView>
  </sheetViews>
  <sheetFormatPr defaultRowHeight="14.4" x14ac:dyDescent="0.3"/>
  <cols>
    <col min="1" max="1" width="13.44140625" style="1" customWidth="1"/>
    <col min="2" max="2" width="30.6640625" style="1" customWidth="1"/>
    <col min="3" max="3" width="40.5546875" style="1" customWidth="1"/>
    <col min="4" max="4" width="30.6640625" style="1" customWidth="1"/>
    <col min="5" max="5" width="39.88671875" style="1" customWidth="1"/>
  </cols>
  <sheetData>
    <row r="1" spans="1:5" ht="24" customHeight="1" x14ac:dyDescent="0.3">
      <c r="A1" s="37" t="s">
        <v>94</v>
      </c>
      <c r="B1" s="37"/>
      <c r="C1" s="37"/>
      <c r="D1" s="37"/>
      <c r="E1" s="37"/>
    </row>
    <row r="2" spans="1:5" ht="14.4" customHeight="1" thickBot="1" x14ac:dyDescent="0.35">
      <c r="A2" s="37"/>
      <c r="B2" s="37"/>
      <c r="C2" s="37"/>
      <c r="D2" s="37"/>
      <c r="E2" s="37"/>
    </row>
    <row r="3" spans="1:5" ht="30.6" customHeight="1" thickBot="1" x14ac:dyDescent="0.35">
      <c r="A3" s="15" t="s">
        <v>95</v>
      </c>
      <c r="B3" s="15" t="s">
        <v>0</v>
      </c>
      <c r="C3" s="15" t="s">
        <v>1</v>
      </c>
      <c r="D3" s="15" t="s">
        <v>2</v>
      </c>
      <c r="E3" s="15" t="s">
        <v>3</v>
      </c>
    </row>
    <row r="4" spans="1:5" ht="19.8" customHeight="1" x14ac:dyDescent="0.3">
      <c r="A4" s="16">
        <v>1</v>
      </c>
      <c r="B4" s="17" t="s">
        <v>4</v>
      </c>
      <c r="C4" s="17" t="s">
        <v>5</v>
      </c>
      <c r="D4" s="17">
        <f>91+9876543210</f>
        <v>9876543301</v>
      </c>
      <c r="E4" s="18" t="s">
        <v>6</v>
      </c>
    </row>
    <row r="5" spans="1:5" ht="19.8" customHeight="1" x14ac:dyDescent="0.3">
      <c r="A5" s="19">
        <v>2</v>
      </c>
      <c r="B5" s="20" t="s">
        <v>7</v>
      </c>
      <c r="C5" s="20" t="s">
        <v>8</v>
      </c>
      <c r="D5" s="20">
        <f>91+9988776655</f>
        <v>9988776746</v>
      </c>
      <c r="E5" s="21" t="s">
        <v>9</v>
      </c>
    </row>
    <row r="6" spans="1:5" ht="19.8" customHeight="1" x14ac:dyDescent="0.3">
      <c r="A6" s="19">
        <v>3</v>
      </c>
      <c r="B6" s="20" t="s">
        <v>10</v>
      </c>
      <c r="C6" s="20" t="s">
        <v>11</v>
      </c>
      <c r="D6" s="20">
        <f>91+9123456789</f>
        <v>9123456880</v>
      </c>
      <c r="E6" s="21" t="s">
        <v>12</v>
      </c>
    </row>
    <row r="7" spans="1:5" ht="19.8" customHeight="1" x14ac:dyDescent="0.3">
      <c r="A7" s="19">
        <v>4</v>
      </c>
      <c r="B7" s="20" t="s">
        <v>13</v>
      </c>
      <c r="C7" s="20" t="s">
        <v>14</v>
      </c>
      <c r="D7" s="20">
        <f>91+9345612780</f>
        <v>9345612871</v>
      </c>
      <c r="E7" s="21" t="s">
        <v>15</v>
      </c>
    </row>
    <row r="8" spans="1:5" ht="19.8" customHeight="1" x14ac:dyDescent="0.3">
      <c r="A8" s="19">
        <v>5</v>
      </c>
      <c r="B8" s="20" t="s">
        <v>16</v>
      </c>
      <c r="C8" s="20" t="s">
        <v>17</v>
      </c>
      <c r="D8" s="20">
        <f>91+9812345670</f>
        <v>9812345761</v>
      </c>
      <c r="E8" s="21" t="s">
        <v>18</v>
      </c>
    </row>
    <row r="9" spans="1:5" ht="19.8" customHeight="1" x14ac:dyDescent="0.3">
      <c r="A9" s="19">
        <v>6</v>
      </c>
      <c r="B9" s="20" t="s">
        <v>19</v>
      </c>
      <c r="C9" s="20" t="s">
        <v>20</v>
      </c>
      <c r="D9" s="20">
        <f>91+9090901234</f>
        <v>9090901325</v>
      </c>
      <c r="E9" s="21" t="s">
        <v>21</v>
      </c>
    </row>
    <row r="10" spans="1:5" ht="19.8" customHeight="1" x14ac:dyDescent="0.3">
      <c r="A10" s="19">
        <v>7</v>
      </c>
      <c r="B10" s="20" t="s">
        <v>22</v>
      </c>
      <c r="C10" s="20" t="s">
        <v>23</v>
      </c>
      <c r="D10" s="20">
        <f>91+9876512340</f>
        <v>9876512431</v>
      </c>
      <c r="E10" s="21" t="s">
        <v>24</v>
      </c>
    </row>
    <row r="11" spans="1:5" ht="19.8" customHeight="1" x14ac:dyDescent="0.3">
      <c r="A11" s="19">
        <v>8</v>
      </c>
      <c r="B11" s="20" t="s">
        <v>25</v>
      </c>
      <c r="C11" s="20" t="s">
        <v>26</v>
      </c>
      <c r="D11" s="20">
        <f>91+9234567891</f>
        <v>9234567982</v>
      </c>
      <c r="E11" s="21" t="s">
        <v>27</v>
      </c>
    </row>
    <row r="12" spans="1:5" ht="19.8" customHeight="1" x14ac:dyDescent="0.3">
      <c r="A12" s="19">
        <v>9</v>
      </c>
      <c r="B12" s="20" t="s">
        <v>28</v>
      </c>
      <c r="C12" s="20" t="s">
        <v>29</v>
      </c>
      <c r="D12" s="20">
        <f>91+9456781230</f>
        <v>9456781321</v>
      </c>
      <c r="E12" s="21" t="s">
        <v>30</v>
      </c>
    </row>
    <row r="13" spans="1:5" ht="19.8" customHeight="1" x14ac:dyDescent="0.3">
      <c r="A13" s="19">
        <v>10</v>
      </c>
      <c r="B13" s="20" t="s">
        <v>31</v>
      </c>
      <c r="C13" s="20" t="s">
        <v>32</v>
      </c>
      <c r="D13" s="20">
        <f>91+9567812309</f>
        <v>9567812400</v>
      </c>
      <c r="E13" s="21" t="s">
        <v>33</v>
      </c>
    </row>
    <row r="14" spans="1:5" ht="19.8" customHeight="1" x14ac:dyDescent="0.3">
      <c r="A14" s="19">
        <v>11</v>
      </c>
      <c r="B14" s="20" t="s">
        <v>34</v>
      </c>
      <c r="C14" s="20" t="s">
        <v>35</v>
      </c>
      <c r="D14" s="20">
        <f>91+9812345678</f>
        <v>9812345769</v>
      </c>
      <c r="E14" s="21" t="s">
        <v>36</v>
      </c>
    </row>
    <row r="15" spans="1:5" ht="19.8" customHeight="1" x14ac:dyDescent="0.3">
      <c r="A15" s="19">
        <v>12</v>
      </c>
      <c r="B15" s="20" t="s">
        <v>37</v>
      </c>
      <c r="C15" s="20" t="s">
        <v>38</v>
      </c>
      <c r="D15" s="20">
        <f>91+9701234567</f>
        <v>9701234658</v>
      </c>
      <c r="E15" s="21" t="s">
        <v>39</v>
      </c>
    </row>
    <row r="16" spans="1:5" ht="19.8" customHeight="1" x14ac:dyDescent="0.3">
      <c r="A16" s="19">
        <v>13</v>
      </c>
      <c r="B16" s="20" t="s">
        <v>40</v>
      </c>
      <c r="C16" s="20" t="s">
        <v>41</v>
      </c>
      <c r="D16" s="20">
        <f>91+9012345678</f>
        <v>9012345769</v>
      </c>
      <c r="E16" s="21" t="s">
        <v>42</v>
      </c>
    </row>
    <row r="17" spans="1:5" ht="19.8" customHeight="1" x14ac:dyDescent="0.3">
      <c r="A17" s="19">
        <v>14</v>
      </c>
      <c r="B17" s="20" t="s">
        <v>43</v>
      </c>
      <c r="C17" s="20" t="s">
        <v>44</v>
      </c>
      <c r="D17" s="20">
        <f>91+9123456701</f>
        <v>9123456792</v>
      </c>
      <c r="E17" s="21" t="s">
        <v>45</v>
      </c>
    </row>
    <row r="18" spans="1:5" ht="19.8" customHeight="1" x14ac:dyDescent="0.3">
      <c r="A18" s="19">
        <v>15</v>
      </c>
      <c r="B18" s="20" t="s">
        <v>46</v>
      </c>
      <c r="C18" s="20" t="s">
        <v>47</v>
      </c>
      <c r="D18" s="20">
        <f>91+9988123456</f>
        <v>9988123547</v>
      </c>
      <c r="E18" s="21" t="s">
        <v>48</v>
      </c>
    </row>
    <row r="19" spans="1:5" ht="19.8" customHeight="1" x14ac:dyDescent="0.3">
      <c r="A19" s="19">
        <v>16</v>
      </c>
      <c r="B19" s="20" t="s">
        <v>49</v>
      </c>
      <c r="C19" s="20" t="s">
        <v>50</v>
      </c>
      <c r="D19" s="20">
        <f>91+9765432109</f>
        <v>9765432200</v>
      </c>
      <c r="E19" s="21" t="s">
        <v>51</v>
      </c>
    </row>
    <row r="20" spans="1:5" ht="19.8" customHeight="1" x14ac:dyDescent="0.3">
      <c r="A20" s="19">
        <v>17</v>
      </c>
      <c r="B20" s="20" t="s">
        <v>52</v>
      </c>
      <c r="C20" s="20" t="s">
        <v>53</v>
      </c>
      <c r="D20" s="20">
        <f>91+9678451234</f>
        <v>9678451325</v>
      </c>
      <c r="E20" s="21" t="s">
        <v>54</v>
      </c>
    </row>
    <row r="21" spans="1:5" ht="19.8" customHeight="1" x14ac:dyDescent="0.3">
      <c r="A21" s="19">
        <v>18</v>
      </c>
      <c r="B21" s="20" t="s">
        <v>55</v>
      </c>
      <c r="C21" s="20" t="s">
        <v>56</v>
      </c>
      <c r="D21" s="20">
        <f>91+9234509876</f>
        <v>9234509967</v>
      </c>
      <c r="E21" s="21" t="s">
        <v>57</v>
      </c>
    </row>
    <row r="22" spans="1:5" ht="19.8" customHeight="1" x14ac:dyDescent="0.3">
      <c r="A22" s="19">
        <v>19</v>
      </c>
      <c r="B22" s="20" t="s">
        <v>58</v>
      </c>
      <c r="C22" s="20" t="s">
        <v>59</v>
      </c>
      <c r="D22" s="20">
        <f>91+9012348700</f>
        <v>9012348791</v>
      </c>
      <c r="E22" s="21" t="s">
        <v>60</v>
      </c>
    </row>
    <row r="23" spans="1:5" ht="19.8" customHeight="1" x14ac:dyDescent="0.3">
      <c r="A23" s="19">
        <v>20</v>
      </c>
      <c r="B23" s="20" t="s">
        <v>61</v>
      </c>
      <c r="C23" s="20" t="s">
        <v>62</v>
      </c>
      <c r="D23" s="20">
        <f>91+9871234509</f>
        <v>9871234600</v>
      </c>
      <c r="E23" s="21" t="s">
        <v>63</v>
      </c>
    </row>
    <row r="24" spans="1:5" ht="19.8" customHeight="1" x14ac:dyDescent="0.3">
      <c r="A24" s="19">
        <v>21</v>
      </c>
      <c r="B24" s="20" t="s">
        <v>64</v>
      </c>
      <c r="C24" s="20" t="s">
        <v>65</v>
      </c>
      <c r="D24" s="20">
        <f>91+9999001122</f>
        <v>9999001213</v>
      </c>
      <c r="E24" s="21" t="s">
        <v>66</v>
      </c>
    </row>
    <row r="25" spans="1:5" ht="19.8" customHeight="1" x14ac:dyDescent="0.3">
      <c r="A25" s="19">
        <v>22</v>
      </c>
      <c r="B25" s="20" t="s">
        <v>67</v>
      </c>
      <c r="C25" s="20" t="s">
        <v>68</v>
      </c>
      <c r="D25" s="20">
        <f>91+9321456780</f>
        <v>9321456871</v>
      </c>
      <c r="E25" s="21" t="s">
        <v>69</v>
      </c>
    </row>
    <row r="26" spans="1:5" ht="19.8" customHeight="1" x14ac:dyDescent="0.3">
      <c r="A26" s="19">
        <v>23</v>
      </c>
      <c r="B26" s="20" t="s">
        <v>70</v>
      </c>
      <c r="C26" s="20" t="s">
        <v>71</v>
      </c>
      <c r="D26" s="20">
        <f>91+9134567890</f>
        <v>9134567981</v>
      </c>
      <c r="E26" s="21" t="s">
        <v>72</v>
      </c>
    </row>
    <row r="27" spans="1:5" ht="19.8" customHeight="1" x14ac:dyDescent="0.3">
      <c r="A27" s="19">
        <v>24</v>
      </c>
      <c r="B27" s="20" t="s">
        <v>73</v>
      </c>
      <c r="C27" s="20" t="s">
        <v>74</v>
      </c>
      <c r="D27" s="20">
        <f>91+9556789123</f>
        <v>9556789214</v>
      </c>
      <c r="E27" s="21" t="s">
        <v>75</v>
      </c>
    </row>
    <row r="28" spans="1:5" ht="19.8" customHeight="1" x14ac:dyDescent="0.3">
      <c r="A28" s="19">
        <v>25</v>
      </c>
      <c r="B28" s="20" t="s">
        <v>76</v>
      </c>
      <c r="C28" s="20" t="s">
        <v>77</v>
      </c>
      <c r="D28" s="20">
        <f>91+9845123098</f>
        <v>9845123189</v>
      </c>
      <c r="E28" s="21" t="s">
        <v>78</v>
      </c>
    </row>
    <row r="29" spans="1:5" ht="19.8" customHeight="1" x14ac:dyDescent="0.3">
      <c r="A29" s="19">
        <v>26</v>
      </c>
      <c r="B29" s="20" t="s">
        <v>79</v>
      </c>
      <c r="C29" s="20" t="s">
        <v>80</v>
      </c>
      <c r="D29" s="20">
        <f>91+9765214309</f>
        <v>9765214400</v>
      </c>
      <c r="E29" s="21" t="s">
        <v>81</v>
      </c>
    </row>
    <row r="30" spans="1:5" ht="19.8" customHeight="1" x14ac:dyDescent="0.3">
      <c r="A30" s="19">
        <v>27</v>
      </c>
      <c r="B30" s="20" t="s">
        <v>82</v>
      </c>
      <c r="C30" s="20" t="s">
        <v>83</v>
      </c>
      <c r="D30" s="20">
        <f>91+9312456780</f>
        <v>9312456871</v>
      </c>
      <c r="E30" s="21" t="s">
        <v>84</v>
      </c>
    </row>
    <row r="31" spans="1:5" ht="19.8" customHeight="1" x14ac:dyDescent="0.3">
      <c r="A31" s="19">
        <v>28</v>
      </c>
      <c r="B31" s="20" t="s">
        <v>85</v>
      </c>
      <c r="C31" s="20" t="s">
        <v>86</v>
      </c>
      <c r="D31" s="20">
        <f>91+9988123400</f>
        <v>9988123491</v>
      </c>
      <c r="E31" s="21" t="s">
        <v>87</v>
      </c>
    </row>
    <row r="32" spans="1:5" ht="19.8" customHeight="1" x14ac:dyDescent="0.3">
      <c r="A32" s="19">
        <v>29</v>
      </c>
      <c r="B32" s="20" t="s">
        <v>88</v>
      </c>
      <c r="C32" s="20" t="s">
        <v>89</v>
      </c>
      <c r="D32" s="20">
        <f>91+9445567809</f>
        <v>9445567900</v>
      </c>
      <c r="E32" s="21" t="s">
        <v>90</v>
      </c>
    </row>
    <row r="33" spans="1:5" ht="19.8" customHeight="1" thickBot="1" x14ac:dyDescent="0.35">
      <c r="A33" s="22">
        <v>30</v>
      </c>
      <c r="B33" s="23" t="s">
        <v>91</v>
      </c>
      <c r="C33" s="23" t="s">
        <v>92</v>
      </c>
      <c r="D33" s="23">
        <f>91+9643210987</f>
        <v>9643211078</v>
      </c>
      <c r="E33" s="24" t="s">
        <v>93</v>
      </c>
    </row>
  </sheetData>
  <mergeCells count="1">
    <mergeCell ref="A1:E2"/>
  </mergeCells>
  <hyperlinks>
    <hyperlink ref="E4" r:id="rId1" display="mailto:aarav.mehta@example.com" xr:uid="{6D48F9EB-508D-4ECC-9F7D-769210488F38}"/>
    <hyperlink ref="E5" r:id="rId2" display="mailto:riya.sharma@example.com" xr:uid="{07DCE26F-9350-480F-B361-FDD0FF6D76AB}"/>
    <hyperlink ref="E6" r:id="rId3" display="mailto:karan.verma@example.com" xr:uid="{BEB3BE95-655C-4B26-9DA5-32CE22BE19D2}"/>
    <hyperlink ref="E7" r:id="rId4" display="mailto:priya.kapoor@example.com" xr:uid="{6A9C33FF-6D7C-4062-8D0A-AAF6043C81F0}"/>
    <hyperlink ref="E8" r:id="rId5" display="mailto:rohit.joshi@example.com" xr:uid="{452CC4B9-113A-4E22-8A78-DD9663C8A0F3}"/>
    <hyperlink ref="E9" r:id="rId6" display="mailto:ananya.gupta@example.com" xr:uid="{1188AF60-CFF3-4211-BC44-5A94BC9BB8F7}"/>
    <hyperlink ref="E10" r:id="rId7" display="mailto:sameer.khan@example.com" xr:uid="{E3F60F4A-8042-4573-B99F-10E74603CEF4}"/>
    <hyperlink ref="E11" r:id="rId8" display="mailto:tanya.deshmukh@example.com" xr:uid="{963E8F29-430B-40A5-BC6D-F4841FC95D44}"/>
    <hyperlink ref="E12" r:id="rId9" display="mailto:nikhil.raj@example.com" xr:uid="{AFE6C143-B515-47A9-8623-96A8041C63CA}"/>
    <hyperlink ref="E13" r:id="rId10" display="mailto:sneha.reddy@example.com" xr:uid="{2CFB261F-4C51-47A3-8DB8-4D0BC2ADF30C}"/>
    <hyperlink ref="E14" r:id="rId11" display="mailto:deepak.singh@example.com" xr:uid="{B9588BBE-B9D7-46F4-B446-D5876B943826}"/>
    <hyperlink ref="E15" r:id="rId12" display="mailto:isha.thakur@example.com" xr:uid="{4A5B9251-AD9A-4E14-9AFD-326792B3BB3A}"/>
    <hyperlink ref="E16" r:id="rId13" display="mailto:arjun.desai@example.com" xr:uid="{07167D98-8C11-4BB1-BC25-03AD80E22D0B}"/>
    <hyperlink ref="E17" r:id="rId14" display="mailto:meera.nair@example.com" xr:uid="{94B454EA-33AA-4D30-B768-71F2D7C225AC}"/>
    <hyperlink ref="E18" r:id="rId15" display="mailto:aman.bhatia@example.com" xr:uid="{A554ABD3-BD88-45B4-A778-E7B2D16CB08A}"/>
    <hyperlink ref="E19" r:id="rId16" display="mailto:kavya.iyer@example.com" xr:uid="{84174333-692D-4230-AA93-9776F07B5983}"/>
    <hyperlink ref="E20" r:id="rId17" display="mailto:raghav.tiwari@example.com" xr:uid="{6C2A249B-9664-4DAE-B017-5E4176B6FDFC}"/>
    <hyperlink ref="E21" r:id="rId18" display="mailto:pooja.chauhan@example.com" xr:uid="{F61B60B0-2D35-4EC9-AA82-1CE2CA3CE000}"/>
    <hyperlink ref="E22" r:id="rId19" display="mailto:harsh.patil@example.com" xr:uid="{A6B029B4-7819-49BF-BA42-D1752F7D723D}"/>
    <hyperlink ref="E23" r:id="rId20" display="mailto:neha.dubey@example.com" xr:uid="{7708F296-54F5-48BA-9A6B-D85C13D022F2}"/>
    <hyperlink ref="E24" r:id="rId21" display="mailto:sagar.saxena@example.com" xr:uid="{E0B042E6-C9CD-4054-A096-4F6DB6937C03}"/>
    <hyperlink ref="E25" r:id="rId22" display="mailto:diya.fernandes@example.com" xr:uid="{87DB04B4-B9EC-4D11-9921-371F22296EE6}"/>
    <hyperlink ref="E26" r:id="rId23" display="mailto:yash.malhotra@example.com" xr:uid="{FC335317-534C-4F44-95F2-7622B9D7A63A}"/>
    <hyperlink ref="E27" r:id="rId24" display="mailto:aisha.sheikh@example.com" xr:uid="{92BE2C3D-5EE9-4E36-9B1F-E73D3FB5A38B}"/>
    <hyperlink ref="E28" r:id="rId25" display="mailto:rajan.kumar@example.com" xr:uid="{E7109F01-8C7A-4C12-BAC3-BDB9028B3E07}"/>
    <hyperlink ref="E29" r:id="rId26" display="mailto:naina.arora@example.com" xr:uid="{92742D67-48C0-4E56-89C4-F4E9A98AF863}"/>
    <hyperlink ref="E30" r:id="rId27" display="mailto:aditya.jain@example.com" xr:uid="{FDD60693-B6CA-419A-BFAA-C4E70967921D}"/>
    <hyperlink ref="E31" r:id="rId28" display="mailto:shruti.mehta@example.com" xr:uid="{91E22219-9326-45A6-BEDB-F530CF395A7E}"/>
    <hyperlink ref="E32" r:id="rId29" display="mailto:varun.agarwal@example.com" xr:uid="{9EEC78E0-9F4A-4150-A3B3-14F1F88A3B50}"/>
    <hyperlink ref="E33" r:id="rId30" display="mailto:simran.kaur@example.com" xr:uid="{CFE85F7D-3916-4754-822E-38329C416A5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Aher Kaustubh</dc:creator>
  <cp:lastModifiedBy>Aher Kaustubh</cp:lastModifiedBy>
  <cp:lastPrinted>2025-07-26T15:03:09Z</cp:lastPrinted>
  <dcterms:created xsi:type="dcterms:W3CDTF">2025-07-26T12:54:18Z</dcterms:created>
  <dcterms:modified xsi:type="dcterms:W3CDTF">2025-07-26T16:46:20Z</dcterms:modified>
</cp:coreProperties>
</file>